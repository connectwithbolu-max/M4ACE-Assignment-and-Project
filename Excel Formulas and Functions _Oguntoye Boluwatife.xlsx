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758AD3-DBFC-44DC-BA87-742B31461E69}" xr6:coauthVersionLast="47" xr6:coauthVersionMax="47" xr10:uidLastSave="{00000000-0000-0000-0000-000000000000}"/>
  <bookViews>
    <workbookView xWindow="-120" yWindow="-120" windowWidth="29040" windowHeight="15840" tabRatio="808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0" l="1"/>
  <c r="A2" i="10"/>
  <c r="E7" i="9" a="1"/>
  <c r="E7" i="9" s="1"/>
  <c r="E3" i="9"/>
  <c r="C24" i="8" a="1"/>
  <c r="C24" i="8" s="1"/>
  <c r="C23" i="8"/>
  <c r="C19" i="8"/>
  <c r="C15" i="8"/>
  <c r="C11" i="8"/>
  <c r="C7" i="8"/>
  <c r="C6" i="8"/>
  <c r="C5" i="8"/>
  <c r="C4" i="8"/>
  <c r="C3" i="8"/>
  <c r="C2" i="8"/>
  <c r="A32" i="7"/>
  <c r="A29" i="7"/>
  <c r="A26" i="7"/>
  <c r="A23" i="7"/>
  <c r="A19" i="7"/>
  <c r="A15" i="7"/>
  <c r="A11" i="7"/>
  <c r="A7" i="7"/>
  <c r="A3" i="7"/>
  <c r="F3" i="6" a="1"/>
  <c r="F3" i="6" s="1"/>
  <c r="F2" i="6"/>
  <c r="E7" i="5"/>
  <c r="E6" i="5"/>
  <c r="E5" i="5"/>
  <c r="E12" i="5"/>
  <c r="E11" i="5"/>
  <c r="E10" i="5"/>
  <c r="E4" i="5"/>
  <c r="E3" i="5"/>
  <c r="E2" i="5"/>
  <c r="B5" i="4"/>
  <c r="B9" i="12"/>
  <c r="C5" i="12"/>
  <c r="D5" i="12"/>
  <c r="B5" i="12"/>
  <c r="E3" i="12"/>
  <c r="E4" i="12"/>
  <c r="E2" i="12"/>
  <c r="C4" i="12"/>
  <c r="D4" i="12"/>
  <c r="B4" i="12"/>
  <c r="A3" i="11"/>
  <c r="B4" i="11"/>
  <c r="B3" i="11"/>
  <c r="A2" i="11"/>
  <c r="A1" i="11"/>
  <c r="B4" i="4"/>
  <c r="D24" i="8"/>
  <c r="D23" i="8"/>
  <c r="E5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<sst xmlns="http://schemas.openxmlformats.org/spreadsheetml/2006/main" count="150" uniqueCount="73">
  <si>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</si>
  <si>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</si>
  <si>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</si>
  <si>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</si>
  <si>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</si>
  <si>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</si>
  <si>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</si>
  <si>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</si>
  <si>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</si>
  <si>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</si>
  <si>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</si>
  <si>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</si>
  <si>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</si>
  <si>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</si>
  <si>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</si>
  <si>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</si>
  <si>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</si>
  <si>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</si>
  <si>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</si>
  <si>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</si>
  <si>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</si>
  <si>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</si>
  <si>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</si>
  <si>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</si>
  <si>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</si>
  <si>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</si>
  <si>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</si>
  <si>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</si>
  <si>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</si>
  <si>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</si>
  <si>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</si>
  <si>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</si>
  <si>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</si>
  <si>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</si>
  <si>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</si>
  <si>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</si>
  <si>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</si>
  <si>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</si>
  <si>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</si>
  <si>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</si>
  <si>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</si>
  <si>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</si>
  <si>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</si>
  <si>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</si>
  <si>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</si>
  <si>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</si>
  <si>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</si>
  <si>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</si>
  <si>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</si>
  <si>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</si>
  <si>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</si>
  <si>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</si>
  <si>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</si>
  <si>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</si>
  <si>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</si>
  <si>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</si>
  <si>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</si>
  <si>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</si>
  <si>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</si>
  <si>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</si>
  <si>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</si>
  <si>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</si>
  <si>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</si>
  <si>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</si>
  <si>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</si>
  <si>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</si>
  <si>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</si>
  <si>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</si>
  <si>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</si>
  <si>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</si>
  <si>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</si>
  <si>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</si>
  <si>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kevin@kevincookiecompany.com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</si>
</sst>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evin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>SUM(B3:D3)</f>
        <v>9</v>
      </c>
    </row>
    <row r="4" spans="1:7" x14ac:dyDescent="0.25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>SUM(B4:D4)</f>
        <v>14</v>
      </c>
    </row>
    <row r="5" spans="1:7" x14ac:dyDescent="0.25">
      <c r="A5" s="2" t="s">
        <v>8</v>
      </c>
      <c r="B5">
        <f>B4*'Tax Rate'!$A$2</f>
        <v>0.60000000000000009</v>
      </c>
      <c r="C5">
        <f>C4*'Tax Rate'!$A$2</f>
        <v>0.5</v>
      </c>
      <c r="D5">
        <f>D4*'Tax Rate'!$A$2</f>
        <v>0.30000000000000004</v>
      </c>
      <c r="E5">
        <f>SUM(B5:D5)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Normal="100" workbookViewId="0">
      <selection activeCell="B3" sqref="B3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75" zoomScaleNormal="175" workbookViewId="0">
      <selection activeCell="E8" sqref="E8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13</v>
      </c>
      <c r="B1" s="2" t="s">
        <v>14</v>
      </c>
    </row>
    <row r="2" spans="1:5" x14ac:dyDescent="0.2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2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25">
      <c r="A8" t="s">
        <v>24</v>
      </c>
      <c r="B8">
        <v>36</v>
      </c>
    </row>
    <row r="10" spans="1:5" x14ac:dyDescent="0.25">
      <c r="D10" t="s">
        <v>25</v>
      </c>
      <c r="E10" s="8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5" sqref="F5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  <col min="6" max="6" width="10.140625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2" zoomScale="190" zoomScaleNormal="190" workbookViewId="0">
      <selection activeCell="A33" sqref="A33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_xlfn.CONCAT(A10," ",B10,"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A14&amp;B14&amp;C14</f>
        <v>KevinCookieCompany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tr">
        <f>_xlfn.TEXTJOIN(" ",TRUE,A18:C18)</f>
        <v>Kevin Cookie Company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72</v>
      </c>
    </row>
    <row r="29" spans="1:3" x14ac:dyDescent="0.25">
      <c r="A29">
        <f>FIND("@",A28)</f>
        <v>6</v>
      </c>
    </row>
    <row r="31" spans="1:3" x14ac:dyDescent="0.25">
      <c r="A31" s="2" t="s">
        <v>55</v>
      </c>
    </row>
    <row r="32" spans="1:3" x14ac:dyDescent="0.25">
      <c r="A32" t="str">
        <f>PROPER(LEFT(A28,FIND("@",A28)-1))</f>
        <v>Kevin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7" zoomScale="145" zoomScaleNormal="145" workbookViewId="0">
      <selection activeCell="C25" sqref="C25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56</v>
      </c>
    </row>
    <row r="2" spans="1:3" x14ac:dyDescent="0.25">
      <c r="A2" t="s">
        <v>53</v>
      </c>
      <c r="B2" t="s">
        <v>57</v>
      </c>
      <c r="C2" t="b">
        <f>A2=B2</f>
        <v>0</v>
      </c>
    </row>
    <row r="3" spans="1:3" x14ac:dyDescent="0.25">
      <c r="A3">
        <v>10</v>
      </c>
      <c r="B3">
        <v>5</v>
      </c>
      <c r="C3" t="b">
        <f>A3=B3</f>
        <v>0</v>
      </c>
    </row>
    <row r="4" spans="1:3" x14ac:dyDescent="0.25">
      <c r="B4">
        <v>11</v>
      </c>
      <c r="C4" t="b">
        <f>A3&gt;B3</f>
        <v>1</v>
      </c>
    </row>
    <row r="5" spans="1:3" x14ac:dyDescent="0.25">
      <c r="C5" t="b">
        <f>A3&gt;=B3</f>
        <v>1</v>
      </c>
    </row>
    <row r="6" spans="1:3" x14ac:dyDescent="0.25">
      <c r="C6" t="b">
        <f>A3&lt;B3</f>
        <v>0</v>
      </c>
    </row>
    <row r="7" spans="1:3" x14ac:dyDescent="0.25">
      <c r="C7" t="b">
        <f>OR(A3&gt;B3,A3&gt;B4)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58</v>
      </c>
    </row>
    <row r="10" spans="1:3" x14ac:dyDescent="0.25">
      <c r="A10" t="s">
        <v>0</v>
      </c>
      <c r="B10">
        <v>97</v>
      </c>
      <c r="C10" t="s">
        <v>59</v>
      </c>
    </row>
    <row r="11" spans="1:3" x14ac:dyDescent="0.25">
      <c r="A11" t="s">
        <v>1</v>
      </c>
      <c r="B11">
        <v>150</v>
      </c>
      <c r="C11" t="str">
        <f>IF(B10&gt;B11,A10,A11)</f>
        <v>Oatmeal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60</v>
      </c>
    </row>
    <row r="14" spans="1:3" x14ac:dyDescent="0.25">
      <c r="C14" t="s">
        <v>61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62</v>
      </c>
    </row>
    <row r="18" spans="1:5" x14ac:dyDescent="0.25">
      <c r="C18" t="s">
        <v>63</v>
      </c>
    </row>
    <row r="19" spans="1:5" x14ac:dyDescent="0.25">
      <c r="C19" t="str">
        <f>IF(OR(B14&gt;B15,B14&gt;B16),"Yes","No")</f>
        <v>No</v>
      </c>
    </row>
    <row r="21" spans="1:5" x14ac:dyDescent="0.25">
      <c r="A21" s="2" t="s">
        <v>64</v>
      </c>
      <c r="B21" s="2" t="s">
        <v>65</v>
      </c>
      <c r="C21" s="2" t="s">
        <v>66</v>
      </c>
    </row>
    <row r="22" spans="1:5" x14ac:dyDescent="0.25">
      <c r="A22" t="s">
        <v>0</v>
      </c>
      <c r="B22">
        <v>10</v>
      </c>
      <c r="C22" t="s">
        <v>67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25">
      <c r="A24" t="s">
        <v>2</v>
      </c>
      <c r="B24">
        <v>5</v>
      </c>
      <c r="C24" cm="1">
        <f t="array" ref="C24">_xlfn.IFS(E22=A22,B22,E22=A23,B23,E22=A24,B24)</f>
        <v>5</v>
      </c>
      <c r="D24" t="str">
        <f ca="1">_xlfn.FORMULATEXT(C24)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8" sqref="E8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64</v>
      </c>
      <c r="B1" s="2" t="s">
        <v>65</v>
      </c>
      <c r="C1" s="2" t="s">
        <v>6</v>
      </c>
      <c r="D1" s="2"/>
      <c r="E1" s="2" t="s">
        <v>68</v>
      </c>
    </row>
    <row r="2" spans="1:6" x14ac:dyDescent="0.25">
      <c r="A2" t="s">
        <v>0</v>
      </c>
      <c r="B2">
        <v>10</v>
      </c>
      <c r="C2">
        <v>4</v>
      </c>
      <c r="E2" t="s">
        <v>67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69</v>
      </c>
    </row>
    <row r="6" spans="1:6" x14ac:dyDescent="0.25">
      <c r="E6" t="s">
        <v>67</v>
      </c>
      <c r="F6" t="s">
        <v>0</v>
      </c>
    </row>
    <row r="7" spans="1:6" x14ac:dyDescent="0.25">
      <c r="E7" cm="1">
        <f t="array" ref="E7:F7">_xlfn.XLOOKUP(F6,A:A,B:C,)</f>
        <v>10</v>
      </c>
      <c r="F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70</v>
      </c>
    </row>
    <row r="2" spans="1:1" x14ac:dyDescent="0.25">
      <c r="A2" s="6">
        <f ca="1">TODAY()</f>
        <v>46086</v>
      </c>
    </row>
    <row r="4" spans="1:1" x14ac:dyDescent="0.25">
      <c r="A4" s="2" t="s">
        <v>71</v>
      </c>
    </row>
    <row r="5" spans="1:1" x14ac:dyDescent="0.25">
      <c r="A5" s="7">
        <f ca="1">NOW()</f>
        <v>46086.595747106483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showFormulas="1" tabSelected="1" zoomScale="325" zoomScaleNormal="325" workbookViewId="0">
      <selection activeCell="B4" sqref="B4"/>
    </sheetView>
  </sheetViews>
  <sheetFormatPr defaultRowHeight="15" x14ac:dyDescent="0.25"/>
  <sheetData>
    <row r="1" spans="1:2" x14ac:dyDescent="0.25">
      <c r="A1">
        <f>5+4</f>
        <v>9</v>
      </c>
      <c r="B1">
        <v>1</v>
      </c>
    </row>
    <row r="2" spans="1:2" x14ac:dyDescent="0.25">
      <c r="A2">
        <f>8-2</f>
        <v>6</v>
      </c>
      <c r="B2">
        <v>3</v>
      </c>
    </row>
    <row r="3" spans="1:2" x14ac:dyDescent="0.25">
      <c r="A3">
        <f>A2+B2</f>
        <v>9</v>
      </c>
      <c r="B3">
        <f>4+2</f>
        <v>6</v>
      </c>
    </row>
    <row r="4" spans="1:2" x14ac:dyDescent="0.2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Boluwatife Oguntoye</cp:lastModifiedBy>
  <cp:revision/>
  <dcterms:created xsi:type="dcterms:W3CDTF">2022-05-10T22:30:35Z</dcterms:created>
  <dcterms:modified xsi:type="dcterms:W3CDTF">2026-03-05T13:20:22Z</dcterms:modified>
  <cp:category/>
  <cp:contentStatus/>
</cp:coreProperties>
</file>